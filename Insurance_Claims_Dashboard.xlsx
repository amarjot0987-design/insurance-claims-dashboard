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ims Data" sheetId="1" state="visible" r:id="rId3"/>
    <sheet name="Summary Dashboard" sheetId="2" state="visible" r:id="rId4"/>
    <sheet name="Power BI Ste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<sst xmlns="http://schemas.openxmlformats.org/spreadsheetml/2006/main" count="399" uniqueCount="169">
  <si>
    <t xml:space="preserve">Claim ID</t>
  </si>
  <si>
    <t xml:space="preserve">Policy No</t>
  </si>
  <si>
    <t xml:space="preserve">Customer Name</t>
  </si>
  <si>
    <t xml:space="preserve">Age</t>
  </si>
  <si>
    <t xml:space="preserve">Gender</t>
  </si>
  <si>
    <t xml:space="preserve">Claim Type</t>
  </si>
  <si>
    <t xml:space="preserve">Claim Amount</t>
  </si>
  <si>
    <t xml:space="preserve">Approved Amount</t>
  </si>
  <si>
    <t xml:space="preserve">Status</t>
  </si>
  <si>
    <t xml:space="preserve">Handler</t>
  </si>
  <si>
    <t xml:space="preserve">Month</t>
  </si>
  <si>
    <t xml:space="preserve">Quarter</t>
  </si>
  <si>
    <t xml:space="preserve">Days to Settle</t>
  </si>
  <si>
    <t xml:space="preserve">City</t>
  </si>
  <si>
    <t xml:space="preserve">Region</t>
  </si>
  <si>
    <t xml:space="preserve">POL-101</t>
  </si>
  <si>
    <t xml:space="preserve">Aryan Mehta</t>
  </si>
  <si>
    <t xml:space="preserve">M</t>
  </si>
  <si>
    <t xml:space="preserve">Health</t>
  </si>
  <si>
    <t xml:space="preserve">Settled</t>
  </si>
  <si>
    <t xml:space="preserve">Ravi Kumar</t>
  </si>
  <si>
    <t xml:space="preserve">Jan</t>
  </si>
  <si>
    <t xml:space="preserve">Q1</t>
  </si>
  <si>
    <t xml:space="preserve">Delhi</t>
  </si>
  <si>
    <t xml:space="preserve">North</t>
  </si>
  <si>
    <t xml:space="preserve">POL-102</t>
  </si>
  <si>
    <t xml:space="preserve">Sunita Sharma</t>
  </si>
  <si>
    <t xml:space="preserve">F</t>
  </si>
  <si>
    <t xml:space="preserve">Motor</t>
  </si>
  <si>
    <t xml:space="preserve">Priya Das</t>
  </si>
  <si>
    <t xml:space="preserve">Mumbai</t>
  </si>
  <si>
    <t xml:space="preserve">West</t>
  </si>
  <si>
    <t xml:space="preserve">POL-103</t>
  </si>
  <si>
    <t xml:space="preserve">Karan Singh</t>
  </si>
  <si>
    <t xml:space="preserve">POL-104</t>
  </si>
  <si>
    <t xml:space="preserve">Meena Patel</t>
  </si>
  <si>
    <t xml:space="preserve">Property</t>
  </si>
  <si>
    <t xml:space="preserve">Amit Joshi</t>
  </si>
  <si>
    <t xml:space="preserve">Ahmedabad</t>
  </si>
  <si>
    <t xml:space="preserve">POL-105</t>
  </si>
  <si>
    <t xml:space="preserve">Rajesh Gupta</t>
  </si>
  <si>
    <t xml:space="preserve">Lucknow</t>
  </si>
  <si>
    <t xml:space="preserve">POL-106</t>
  </si>
  <si>
    <t xml:space="preserve">Pooja Verma</t>
  </si>
  <si>
    <t xml:space="preserve">Pending</t>
  </si>
  <si>
    <t xml:space="preserve">Bangalore</t>
  </si>
  <si>
    <t xml:space="preserve">South</t>
  </si>
  <si>
    <t xml:space="preserve">POL-107</t>
  </si>
  <si>
    <t xml:space="preserve">Nitin Joshi</t>
  </si>
  <si>
    <t xml:space="preserve">Feb</t>
  </si>
  <si>
    <t xml:space="preserve">Pune</t>
  </si>
  <si>
    <t xml:space="preserve">POL-108</t>
  </si>
  <si>
    <t xml:space="preserve">Ananya Roy</t>
  </si>
  <si>
    <t xml:space="preserve">Kolkata</t>
  </si>
  <si>
    <t xml:space="preserve">East</t>
  </si>
  <si>
    <t xml:space="preserve">POL-109</t>
  </si>
  <si>
    <t xml:space="preserve">Deepak Nair</t>
  </si>
  <si>
    <t xml:space="preserve">Chennai</t>
  </si>
  <si>
    <t xml:space="preserve">POL-110</t>
  </si>
  <si>
    <t xml:space="preserve">Kavitha Reddy</t>
  </si>
  <si>
    <t xml:space="preserve">Hyderabad</t>
  </si>
  <si>
    <t xml:space="preserve">POL-111</t>
  </si>
  <si>
    <t xml:space="preserve">Suresh Kumar</t>
  </si>
  <si>
    <t xml:space="preserve">POL-112</t>
  </si>
  <si>
    <t xml:space="preserve">Ritu Bose</t>
  </si>
  <si>
    <t xml:space="preserve">POL-113</t>
  </si>
  <si>
    <t xml:space="preserve">Manish Tiwari</t>
  </si>
  <si>
    <t xml:space="preserve">Mar</t>
  </si>
  <si>
    <t xml:space="preserve">Jaipur</t>
  </si>
  <si>
    <t xml:space="preserve">POL-114</t>
  </si>
  <si>
    <t xml:space="preserve">Shreya Iyer</t>
  </si>
  <si>
    <t xml:space="preserve">POL-115</t>
  </si>
  <si>
    <t xml:space="preserve">Aakash Shah</t>
  </si>
  <si>
    <t xml:space="preserve">Rejected</t>
  </si>
  <si>
    <t xml:space="preserve">POL-116</t>
  </si>
  <si>
    <t xml:space="preserve">Divya Menon</t>
  </si>
  <si>
    <t xml:space="preserve">POL-117</t>
  </si>
  <si>
    <t xml:space="preserve">Pranav Dubey</t>
  </si>
  <si>
    <t xml:space="preserve">POL-118</t>
  </si>
  <si>
    <t xml:space="preserve">Neha Kapoor</t>
  </si>
  <si>
    <t xml:space="preserve">POL-119</t>
  </si>
  <si>
    <t xml:space="preserve">Rohit Mishra</t>
  </si>
  <si>
    <t xml:space="preserve">POL-120</t>
  </si>
  <si>
    <t xml:space="preserve">Lakshmi Pillai</t>
  </si>
  <si>
    <t xml:space="preserve">POL-121</t>
  </si>
  <si>
    <t xml:space="preserve">Vikas Yadav</t>
  </si>
  <si>
    <t xml:space="preserve">Apr</t>
  </si>
  <si>
    <t xml:space="preserve">Q2</t>
  </si>
  <si>
    <t xml:space="preserve">POL-122</t>
  </si>
  <si>
    <t xml:space="preserve">Pallavi Sinha</t>
  </si>
  <si>
    <t xml:space="preserve">POL-123</t>
  </si>
  <si>
    <t xml:space="preserve">Gaurav Tomar</t>
  </si>
  <si>
    <t xml:space="preserve">POL-124</t>
  </si>
  <si>
    <t xml:space="preserve">Swati Chaudhary</t>
  </si>
  <si>
    <t xml:space="preserve">POL-125</t>
  </si>
  <si>
    <t xml:space="preserve">Abhishek Sen</t>
  </si>
  <si>
    <t xml:space="preserve">POL-126</t>
  </si>
  <si>
    <t xml:space="preserve">Tanuja Nair</t>
  </si>
  <si>
    <t xml:space="preserve">POL-127</t>
  </si>
  <si>
    <t xml:space="preserve">Harish Chand</t>
  </si>
  <si>
    <t xml:space="preserve">POL-128</t>
  </si>
  <si>
    <t xml:space="preserve">Sneha Kulkarni</t>
  </si>
  <si>
    <t xml:space="preserve">POL-129</t>
  </si>
  <si>
    <t xml:space="preserve">Sanjay Rawat</t>
  </si>
  <si>
    <t xml:space="preserve">POL-130</t>
  </si>
  <si>
    <t xml:space="preserve">Rekha Dubey</t>
  </si>
  <si>
    <t xml:space="preserve">INSURANCE CLAIMS ANALYSIS DASHBOARD</t>
  </si>
  <si>
    <t xml:space="preserve">KEY METRICS</t>
  </si>
  <si>
    <t xml:space="preserve">CLAIMS BY TYPE</t>
  </si>
  <si>
    <t xml:space="preserve">Total Claims</t>
  </si>
  <si>
    <t xml:space="preserve">Claimed Amt</t>
  </si>
  <si>
    <t xml:space="preserve">Approved Amt</t>
  </si>
  <si>
    <t xml:space="preserve">Total Claimed</t>
  </si>
  <si>
    <t xml:space="preserve">Total Approved</t>
  </si>
  <si>
    <t xml:space="preserve">Settled Claims</t>
  </si>
  <si>
    <t xml:space="preserve">Pending Claims</t>
  </si>
  <si>
    <t xml:space="preserve">Rejected Claims</t>
  </si>
  <si>
    <t xml:space="preserve">MONTHLY CLAIMS TREND</t>
  </si>
  <si>
    <t xml:space="preserve">Settlement Rate</t>
  </si>
  <si>
    <t xml:space="preserve">Claims</t>
  </si>
  <si>
    <t xml:space="preserve">Claimed</t>
  </si>
  <si>
    <t xml:space="preserve">Approved</t>
  </si>
  <si>
    <t xml:space="preserve">Settled Count</t>
  </si>
  <si>
    <t xml:space="preserve">Avg Days Settle</t>
  </si>
  <si>
    <t xml:space="preserve">HANDLER PERFORMANCE</t>
  </si>
  <si>
    <t xml:space="preserve">Assigned</t>
  </si>
  <si>
    <t xml:space="preserve">CLAIM STATUS BREAKDOWN</t>
  </si>
  <si>
    <t xml:space="preserve">Count</t>
  </si>
  <si>
    <t xml:space="preserve">% Share</t>
  </si>
  <si>
    <t xml:space="preserve">Avg Amount</t>
  </si>
  <si>
    <t xml:space="preserve">POWER BI DASHBOARD — STEP BY STEP GUIDE</t>
  </si>
  <si>
    <t xml:space="preserve">Step</t>
  </si>
  <si>
    <t xml:space="preserve">Action</t>
  </si>
  <si>
    <t xml:space="preserve">STEP 1</t>
  </si>
  <si>
    <t xml:space="preserve">Open Power BI Desktop → Get Data → Excel → Select this file → Load 'Claims Data' sheet</t>
  </si>
  <si>
    <t xml:space="preserve">STEP 2</t>
  </si>
  <si>
    <t xml:space="preserve">Go to Transform Data → Check all column types → Date = Date, Amount = Decimal → Close &amp; Apply</t>
  </si>
  <si>
    <t xml:space="preserve">STEP 3</t>
  </si>
  <si>
    <t xml:space="preserve">Create Measure: Total Claims = COUNTA('Claims Data'[Claim ID])</t>
  </si>
  <si>
    <t xml:space="preserve">STEP 4</t>
  </si>
  <si>
    <t xml:space="preserve">Create Measure: Total Claimed Amount = SUM('Claims Data'[Claim Amount])</t>
  </si>
  <si>
    <t xml:space="preserve">STEP 5</t>
  </si>
  <si>
    <t xml:space="preserve">Create Measure: Total Approved = SUM('Claims Data'[Approved Amount])</t>
  </si>
  <si>
    <t xml:space="preserve">STEP 6</t>
  </si>
  <si>
    <t xml:space="preserve">Create Measure: Settlement Rate = DIVIDE(COUNTIF('Claims Data'[Status],"Settled"),COUNTA('Claims Data'[Status]))</t>
  </si>
  <si>
    <t xml:space="preserve">STEP 7</t>
  </si>
  <si>
    <t xml:space="preserve">Create Measure: Avg Days to Settle = CALCULATE(AVERAGE('Claims Data'[Days to Settle]),'Claims Data'[Status]="Settled")</t>
  </si>
  <si>
    <t xml:space="preserve">STEP 8</t>
  </si>
  <si>
    <t xml:space="preserve">Add 5 KPI Cards: Total Claims | Total Claimed | Approved | Settlement Rate | Avg Days</t>
  </si>
  <si>
    <t xml:space="preserve">STEP 9</t>
  </si>
  <si>
    <t xml:space="preserve">Add Clustered Bar Chart → Axis: Claim Type → Values: Total Claims</t>
  </si>
  <si>
    <t xml:space="preserve">STEP 10</t>
  </si>
  <si>
    <t xml:space="preserve">Add Line Chart → Axis: Month → Values: Total Claims + Total Claimed</t>
  </si>
  <si>
    <t xml:space="preserve">STEP 11</t>
  </si>
  <si>
    <t xml:space="preserve">Add Donut Chart → Legend: Status (Settled/Pending/Rejected) → Values: Count</t>
  </si>
  <si>
    <t xml:space="preserve">STEP 12</t>
  </si>
  <si>
    <t xml:space="preserve">Add Stacked Bar → Axis: Handler → Values: Settled count vs Pending count</t>
  </si>
  <si>
    <t xml:space="preserve">STEP 13</t>
  </si>
  <si>
    <t xml:space="preserve">Add Table Visual → Columns: Customer Name, Claim Type, Amount, Status, Days to Settle</t>
  </si>
  <si>
    <t xml:space="preserve">STEP 14</t>
  </si>
  <si>
    <t xml:space="preserve">Add Slicer → Field: Claim Type</t>
  </si>
  <si>
    <t xml:space="preserve">STEP 15</t>
  </si>
  <si>
    <t xml:space="preserve">Add Slicer → Field: Month</t>
  </si>
  <si>
    <t xml:space="preserve">STEP 16</t>
  </si>
  <si>
    <t xml:space="preserve">Add Slicer → Field: Status</t>
  </si>
  <si>
    <t xml:space="preserve">STEP 17</t>
  </si>
  <si>
    <t xml:space="preserve">Format → Dark navy theme → Conditional formatting on Status column (Green=Settled, Red=Rejected)</t>
  </si>
  <si>
    <t xml:space="preserve">STEP 18</t>
  </si>
  <si>
    <t xml:space="preserve">Save as Insurance_Claims_Dashboard.pbix → Take screenshot → Upload to GitHub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</si>
</sst>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General"/>
    <numFmt numFmtId="167" formatCode="0.0%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595959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Claims Count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Dashboard'!G4</c:f>
              <c:strCache>
                <c:ptCount val="1"/>
                <c:pt idx="0">
                  <c:v>Total Claims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Dashboard'!$F$4:$F$7</c:f>
              <c:strCache>
                <c:ptCount val="4"/>
                <c:pt idx="0">
                  <c:v>Claim Type</c:v>
                </c:pt>
                <c:pt idx="1">
                  <c:v>Health</c:v>
                </c:pt>
                <c:pt idx="2">
                  <c:v>Motor</c:v>
                </c:pt>
                <c:pt idx="3">
                  <c:v>Property</c:v>
                </c:pt>
              </c:strCache>
            </c:strRef>
          </c:cat>
          <c:val>
            <c:numRef>
              <c:f>'Summary Dashboard'!$G$5:$G$7</c:f>
              <c:numCache>
                <c:formatCode>General</c:formatCode>
                <c:ptCount val="3"/>
                <c:pt idx="0">
                  <c:v>14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</c:ser>
        <c:gapWidth val="150"/>
        <c:overlap val="0"/>
        <c:axId val="6043609"/>
        <c:axId val="42892984"/>
      </c:barChart>
      <c:catAx>
        <c:axId val="6043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92984"/>
        <c:crosses val="autoZero"/>
        <c:auto val="1"/>
        <c:lblAlgn val="ctr"/>
        <c:lblOffset val="100"/>
        <c:noMultiLvlLbl val="0"/>
      </c:catAx>
      <c:valAx>
        <c:axId val="42892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Claims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3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Claims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Dashboard'!G10</c:f>
              <c:strCache>
                <c:ptCount val="1"/>
                <c:pt idx="0">
                  <c:v>Claims</c:v>
                </c:pt>
              </c:strCache>
            </c:strRef>
          </c:tx>
          <c:spPr>
            <a:solidFill>
              <a:srgbClr val="1f4e79"/>
            </a:solidFill>
            <a:ln w="475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Dashboard'!$F$10:$F$14</c:f>
              <c:strCache>
                <c:ptCount val="5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</c:strCache>
            </c:strRef>
          </c:cat>
          <c:val>
            <c:numRef>
              <c:f>'Summary Dashboard'!$G$11:$G$14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56386"/>
        <c:axId val="19878901"/>
      </c:lineChart>
      <c:catAx>
        <c:axId val="87563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78901"/>
        <c:crosses val="autoZero"/>
        <c:auto val="1"/>
        <c:lblAlgn val="ctr"/>
        <c:lblOffset val="100"/>
        <c:noMultiLvlLbl val="0"/>
      </c:catAx>
      <c:valAx>
        <c:axId val="19878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Dashboard'!B20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Dashboard'!$A$20:$A$23</c:f>
              <c:strCache>
                <c:ptCount val="4"/>
                <c:pt idx="0">
                  <c:v>Status</c:v>
                </c:pt>
                <c:pt idx="1">
                  <c:v>Settled</c:v>
                </c:pt>
                <c:pt idx="2">
                  <c:v>Pending</c:v>
                </c:pt>
                <c:pt idx="3">
                  <c:v>Rejected</c:v>
                </c:pt>
              </c:strCache>
            </c:strRef>
          </c:cat>
          <c:val>
            <c:numRef>
              <c:f>'Summary Dashboard'!$B$21:$B$23</c:f>
              <c:numCache>
                <c:formatCode>General</c:formatCode>
                <c:ptCount val="3"/>
                <c:pt idx="0">
                  <c:v>23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5</xdr:col>
      <xdr:colOff>528480</xdr:colOff>
      <xdr:row>41</xdr:row>
      <xdr:rowOff>1080</xdr:rowOff>
    </xdr:to>
    <xdr:graphicFrame>
      <xdr:nvGraphicFramePr>
        <xdr:cNvPr id="0" name="Chart 1"/>
        <xdr:cNvGraphicFramePr/>
      </xdr:nvGraphicFramePr>
      <xdr:xfrm>
        <a:off x="0" y="5362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10</xdr:col>
      <xdr:colOff>387720</xdr:colOff>
      <xdr:row>41</xdr:row>
      <xdr:rowOff>1080</xdr:rowOff>
    </xdr:to>
    <xdr:graphicFrame>
      <xdr:nvGraphicFramePr>
        <xdr:cNvPr id="1" name="Chart 2"/>
        <xdr:cNvGraphicFramePr/>
      </xdr:nvGraphicFramePr>
      <xdr:xfrm>
        <a:off x="4511160" y="5362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15</xdr:col>
      <xdr:colOff>151200</xdr:colOff>
      <xdr:row>41</xdr:row>
      <xdr:rowOff>1080</xdr:rowOff>
    </xdr:to>
    <xdr:graphicFrame>
      <xdr:nvGraphicFramePr>
        <xdr:cNvPr id="2" name="Chart 3"/>
        <xdr:cNvGraphicFramePr/>
      </xdr:nvGraphicFramePr>
      <xdr:xfrm>
        <a:off x="8317080" y="5362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4" min="13" style="0" width="14"/>
    <col collapsed="false" customWidth="true" hidden="false" outlineLevel="0" max="15" min="15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5001</v>
      </c>
      <c r="B2" s="2" t="s">
        <v>15</v>
      </c>
      <c r="C2" s="2" t="s">
        <v>16</v>
      </c>
      <c r="D2" s="2" t="n">
        <v>34</v>
      </c>
      <c r="E2" s="2" t="s">
        <v>17</v>
      </c>
      <c r="F2" s="2" t="s">
        <v>18</v>
      </c>
      <c r="G2" s="3" t="n">
        <v>45000</v>
      </c>
      <c r="H2" s="3" t="n">
        <v>40000</v>
      </c>
      <c r="I2" s="4" t="s">
        <v>19</v>
      </c>
      <c r="J2" s="2" t="s">
        <v>20</v>
      </c>
      <c r="K2" s="2" t="s">
        <v>21</v>
      </c>
      <c r="L2" s="2" t="s">
        <v>22</v>
      </c>
      <c r="M2" s="2" t="n">
        <v>12</v>
      </c>
      <c r="N2" s="2" t="s">
        <v>23</v>
      </c>
      <c r="O2" s="2" t="s">
        <v>24</v>
      </c>
    </row>
    <row r="3" customFormat="false" ht="15" hidden="false" customHeight="false" outlineLevel="0" collapsed="false">
      <c r="A3" s="5" t="n">
        <v>5002</v>
      </c>
      <c r="B3" s="5" t="s">
        <v>25</v>
      </c>
      <c r="C3" s="5" t="s">
        <v>26</v>
      </c>
      <c r="D3" s="5" t="n">
        <v>52</v>
      </c>
      <c r="E3" s="5" t="s">
        <v>27</v>
      </c>
      <c r="F3" s="5" t="s">
        <v>28</v>
      </c>
      <c r="G3" s="6" t="n">
        <v>120000</v>
      </c>
      <c r="H3" s="6" t="n">
        <v>100000</v>
      </c>
      <c r="I3" s="4" t="s">
        <v>19</v>
      </c>
      <c r="J3" s="5" t="s">
        <v>29</v>
      </c>
      <c r="K3" s="5" t="s">
        <v>21</v>
      </c>
      <c r="L3" s="5" t="s">
        <v>22</v>
      </c>
      <c r="M3" s="5" t="n">
        <v>18</v>
      </c>
      <c r="N3" s="5" t="s">
        <v>30</v>
      </c>
      <c r="O3" s="5" t="s">
        <v>31</v>
      </c>
    </row>
    <row r="4" customFormat="false" ht="15" hidden="false" customHeight="false" outlineLevel="0" collapsed="false">
      <c r="A4" s="2" t="n">
        <v>5003</v>
      </c>
      <c r="B4" s="2" t="s">
        <v>32</v>
      </c>
      <c r="C4" s="2" t="s">
        <v>33</v>
      </c>
      <c r="D4" s="2" t="n">
        <v>28</v>
      </c>
      <c r="E4" s="2" t="s">
        <v>17</v>
      </c>
      <c r="F4" s="2" t="s">
        <v>18</v>
      </c>
      <c r="G4" s="3" t="n">
        <v>30000</v>
      </c>
      <c r="H4" s="3" t="n">
        <v>28000</v>
      </c>
      <c r="I4" s="4" t="s">
        <v>19</v>
      </c>
      <c r="J4" s="2" t="s">
        <v>20</v>
      </c>
      <c r="K4" s="2" t="s">
        <v>21</v>
      </c>
      <c r="L4" s="2" t="s">
        <v>22</v>
      </c>
      <c r="M4" s="2" t="n">
        <v>8</v>
      </c>
      <c r="N4" s="2" t="s">
        <v>23</v>
      </c>
      <c r="O4" s="2" t="s">
        <v>24</v>
      </c>
    </row>
    <row r="5" customFormat="false" ht="15" hidden="false" customHeight="false" outlineLevel="0" collapsed="false">
      <c r="A5" s="5" t="n">
        <v>5004</v>
      </c>
      <c r="B5" s="5" t="s">
        <v>34</v>
      </c>
      <c r="C5" s="5" t="s">
        <v>35</v>
      </c>
      <c r="D5" s="5" t="n">
        <v>45</v>
      </c>
      <c r="E5" s="5" t="s">
        <v>27</v>
      </c>
      <c r="F5" s="5" t="s">
        <v>36</v>
      </c>
      <c r="G5" s="6" t="n">
        <v>200000</v>
      </c>
      <c r="H5" s="6" t="n">
        <v>180000</v>
      </c>
      <c r="I5" s="4" t="s">
        <v>19</v>
      </c>
      <c r="J5" s="5" t="s">
        <v>37</v>
      </c>
      <c r="K5" s="5" t="s">
        <v>21</v>
      </c>
      <c r="L5" s="5" t="s">
        <v>22</v>
      </c>
      <c r="M5" s="5" t="n">
        <v>25</v>
      </c>
      <c r="N5" s="5" t="s">
        <v>38</v>
      </c>
      <c r="O5" s="5" t="s">
        <v>31</v>
      </c>
    </row>
    <row r="6" customFormat="false" ht="15" hidden="false" customHeight="false" outlineLevel="0" collapsed="false">
      <c r="A6" s="2" t="n">
        <v>5005</v>
      </c>
      <c r="B6" s="2" t="s">
        <v>39</v>
      </c>
      <c r="C6" s="2" t="s">
        <v>40</v>
      </c>
      <c r="D6" s="2" t="n">
        <v>60</v>
      </c>
      <c r="E6" s="2" t="s">
        <v>17</v>
      </c>
      <c r="F6" s="2" t="s">
        <v>18</v>
      </c>
      <c r="G6" s="3" t="n">
        <v>80000</v>
      </c>
      <c r="H6" s="3" t="n">
        <v>75000</v>
      </c>
      <c r="I6" s="4" t="s">
        <v>19</v>
      </c>
      <c r="J6" s="2" t="s">
        <v>29</v>
      </c>
      <c r="K6" s="2" t="s">
        <v>21</v>
      </c>
      <c r="L6" s="2" t="s">
        <v>22</v>
      </c>
      <c r="M6" s="2" t="n">
        <v>10</v>
      </c>
      <c r="N6" s="2" t="s">
        <v>41</v>
      </c>
      <c r="O6" s="2" t="s">
        <v>24</v>
      </c>
    </row>
    <row r="7" customFormat="false" ht="15" hidden="false" customHeight="false" outlineLevel="0" collapsed="false">
      <c r="A7" s="5" t="n">
        <v>5006</v>
      </c>
      <c r="B7" s="5" t="s">
        <v>42</v>
      </c>
      <c r="C7" s="5" t="s">
        <v>43</v>
      </c>
      <c r="D7" s="5" t="n">
        <v>38</v>
      </c>
      <c r="E7" s="5" t="s">
        <v>27</v>
      </c>
      <c r="F7" s="5" t="s">
        <v>28</v>
      </c>
      <c r="G7" s="6" t="n">
        <v>60000</v>
      </c>
      <c r="H7" s="6" t="n">
        <v>55000</v>
      </c>
      <c r="I7" s="7" t="s">
        <v>44</v>
      </c>
      <c r="J7" s="5" t="s">
        <v>20</v>
      </c>
      <c r="K7" s="5" t="s">
        <v>21</v>
      </c>
      <c r="L7" s="5" t="s">
        <v>22</v>
      </c>
      <c r="M7" s="5" t="n">
        <v>0</v>
      </c>
      <c r="N7" s="5" t="s">
        <v>45</v>
      </c>
      <c r="O7" s="5" t="s">
        <v>46</v>
      </c>
    </row>
    <row r="8" customFormat="false" ht="15" hidden="false" customHeight="false" outlineLevel="0" collapsed="false">
      <c r="A8" s="2" t="n">
        <v>5007</v>
      </c>
      <c r="B8" s="2" t="s">
        <v>47</v>
      </c>
      <c r="C8" s="2" t="s">
        <v>48</v>
      </c>
      <c r="D8" s="2" t="n">
        <v>42</v>
      </c>
      <c r="E8" s="2" t="s">
        <v>17</v>
      </c>
      <c r="F8" s="2" t="s">
        <v>18</v>
      </c>
      <c r="G8" s="3" t="n">
        <v>35000</v>
      </c>
      <c r="H8" s="3" t="n">
        <v>30000</v>
      </c>
      <c r="I8" s="4" t="s">
        <v>19</v>
      </c>
      <c r="J8" s="2" t="s">
        <v>37</v>
      </c>
      <c r="K8" s="2" t="s">
        <v>49</v>
      </c>
      <c r="L8" s="2" t="s">
        <v>22</v>
      </c>
      <c r="M8" s="2" t="n">
        <v>14</v>
      </c>
      <c r="N8" s="2" t="s">
        <v>50</v>
      </c>
      <c r="O8" s="2" t="s">
        <v>31</v>
      </c>
    </row>
    <row r="9" customFormat="false" ht="15" hidden="false" customHeight="false" outlineLevel="0" collapsed="false">
      <c r="A9" s="5" t="n">
        <v>5008</v>
      </c>
      <c r="B9" s="5" t="s">
        <v>51</v>
      </c>
      <c r="C9" s="5" t="s">
        <v>52</v>
      </c>
      <c r="D9" s="5" t="n">
        <v>29</v>
      </c>
      <c r="E9" s="5" t="s">
        <v>27</v>
      </c>
      <c r="F9" s="5" t="s">
        <v>28</v>
      </c>
      <c r="G9" s="6" t="n">
        <v>90000</v>
      </c>
      <c r="H9" s="6" t="n">
        <v>82000</v>
      </c>
      <c r="I9" s="4" t="s">
        <v>19</v>
      </c>
      <c r="J9" s="5" t="s">
        <v>29</v>
      </c>
      <c r="K9" s="5" t="s">
        <v>49</v>
      </c>
      <c r="L9" s="5" t="s">
        <v>22</v>
      </c>
      <c r="M9" s="5" t="n">
        <v>20</v>
      </c>
      <c r="N9" s="5" t="s">
        <v>53</v>
      </c>
      <c r="O9" s="5" t="s">
        <v>54</v>
      </c>
    </row>
    <row r="10" customFormat="false" ht="15" hidden="false" customHeight="false" outlineLevel="0" collapsed="false">
      <c r="A10" s="2" t="n">
        <v>5009</v>
      </c>
      <c r="B10" s="2" t="s">
        <v>55</v>
      </c>
      <c r="C10" s="2" t="s">
        <v>56</v>
      </c>
      <c r="D10" s="2" t="n">
        <v>55</v>
      </c>
      <c r="E10" s="2" t="s">
        <v>17</v>
      </c>
      <c r="F10" s="2" t="s">
        <v>36</v>
      </c>
      <c r="G10" s="3" t="n">
        <v>350000</v>
      </c>
      <c r="H10" s="3" t="n">
        <v>300000</v>
      </c>
      <c r="I10" s="4" t="s">
        <v>19</v>
      </c>
      <c r="J10" s="2" t="s">
        <v>20</v>
      </c>
      <c r="K10" s="2" t="s">
        <v>49</v>
      </c>
      <c r="L10" s="2" t="s">
        <v>22</v>
      </c>
      <c r="M10" s="2" t="n">
        <v>30</v>
      </c>
      <c r="N10" s="2" t="s">
        <v>57</v>
      </c>
      <c r="O10" s="2" t="s">
        <v>46</v>
      </c>
    </row>
    <row r="11" customFormat="false" ht="15" hidden="false" customHeight="false" outlineLevel="0" collapsed="false">
      <c r="A11" s="5" t="n">
        <v>5010</v>
      </c>
      <c r="B11" s="5" t="s">
        <v>58</v>
      </c>
      <c r="C11" s="5" t="s">
        <v>59</v>
      </c>
      <c r="D11" s="5" t="n">
        <v>33</v>
      </c>
      <c r="E11" s="5" t="s">
        <v>27</v>
      </c>
      <c r="F11" s="5" t="s">
        <v>18</v>
      </c>
      <c r="G11" s="6" t="n">
        <v>42000</v>
      </c>
      <c r="H11" s="6" t="n">
        <v>38000</v>
      </c>
      <c r="I11" s="4" t="s">
        <v>19</v>
      </c>
      <c r="J11" s="5" t="s">
        <v>37</v>
      </c>
      <c r="K11" s="5" t="s">
        <v>49</v>
      </c>
      <c r="L11" s="5" t="s">
        <v>22</v>
      </c>
      <c r="M11" s="5" t="n">
        <v>9</v>
      </c>
      <c r="N11" s="5" t="s">
        <v>60</v>
      </c>
      <c r="O11" s="5" t="s">
        <v>46</v>
      </c>
    </row>
    <row r="12" customFormat="false" ht="15" hidden="false" customHeight="false" outlineLevel="0" collapsed="false">
      <c r="A12" s="2" t="n">
        <v>5011</v>
      </c>
      <c r="B12" s="2" t="s">
        <v>61</v>
      </c>
      <c r="C12" s="2" t="s">
        <v>62</v>
      </c>
      <c r="D12" s="2" t="n">
        <v>47</v>
      </c>
      <c r="E12" s="2" t="s">
        <v>17</v>
      </c>
      <c r="F12" s="2" t="s">
        <v>28</v>
      </c>
      <c r="G12" s="3" t="n">
        <v>75000</v>
      </c>
      <c r="H12" s="3" t="n">
        <v>70000</v>
      </c>
      <c r="I12" s="7" t="s">
        <v>44</v>
      </c>
      <c r="J12" s="2" t="s">
        <v>29</v>
      </c>
      <c r="K12" s="2" t="s">
        <v>49</v>
      </c>
      <c r="L12" s="2" t="s">
        <v>22</v>
      </c>
      <c r="M12" s="2" t="n">
        <v>0</v>
      </c>
      <c r="N12" s="2" t="s">
        <v>23</v>
      </c>
      <c r="O12" s="2" t="s">
        <v>24</v>
      </c>
    </row>
    <row r="13" customFormat="false" ht="15" hidden="false" customHeight="false" outlineLevel="0" collapsed="false">
      <c r="A13" s="5" t="n">
        <v>5012</v>
      </c>
      <c r="B13" s="5" t="s">
        <v>63</v>
      </c>
      <c r="C13" s="5" t="s">
        <v>64</v>
      </c>
      <c r="D13" s="5" t="n">
        <v>36</v>
      </c>
      <c r="E13" s="5" t="s">
        <v>27</v>
      </c>
      <c r="F13" s="5" t="s">
        <v>18</v>
      </c>
      <c r="G13" s="6" t="n">
        <v>28000</v>
      </c>
      <c r="H13" s="6" t="n">
        <v>25000</v>
      </c>
      <c r="I13" s="4" t="s">
        <v>19</v>
      </c>
      <c r="J13" s="5" t="s">
        <v>20</v>
      </c>
      <c r="K13" s="5" t="s">
        <v>49</v>
      </c>
      <c r="L13" s="5" t="s">
        <v>22</v>
      </c>
      <c r="M13" s="5" t="n">
        <v>7</v>
      </c>
      <c r="N13" s="5" t="s">
        <v>53</v>
      </c>
      <c r="O13" s="5" t="s">
        <v>54</v>
      </c>
    </row>
    <row r="14" customFormat="false" ht="15" hidden="false" customHeight="false" outlineLevel="0" collapsed="false">
      <c r="A14" s="2" t="n">
        <v>5013</v>
      </c>
      <c r="B14" s="2" t="s">
        <v>65</v>
      </c>
      <c r="C14" s="2" t="s">
        <v>66</v>
      </c>
      <c r="D14" s="2" t="n">
        <v>50</v>
      </c>
      <c r="E14" s="2" t="s">
        <v>17</v>
      </c>
      <c r="F14" s="2" t="s">
        <v>36</v>
      </c>
      <c r="G14" s="3" t="n">
        <v>250000</v>
      </c>
      <c r="H14" s="3" t="n">
        <v>220000</v>
      </c>
      <c r="I14" s="4" t="s">
        <v>19</v>
      </c>
      <c r="J14" s="2" t="s">
        <v>37</v>
      </c>
      <c r="K14" s="2" t="s">
        <v>67</v>
      </c>
      <c r="L14" s="2" t="s">
        <v>22</v>
      </c>
      <c r="M14" s="2" t="n">
        <v>28</v>
      </c>
      <c r="N14" s="2" t="s">
        <v>68</v>
      </c>
      <c r="O14" s="2" t="s">
        <v>24</v>
      </c>
    </row>
    <row r="15" customFormat="false" ht="15" hidden="false" customHeight="false" outlineLevel="0" collapsed="false">
      <c r="A15" s="5" t="n">
        <v>5014</v>
      </c>
      <c r="B15" s="5" t="s">
        <v>69</v>
      </c>
      <c r="C15" s="5" t="s">
        <v>70</v>
      </c>
      <c r="D15" s="5" t="n">
        <v>27</v>
      </c>
      <c r="E15" s="5" t="s">
        <v>27</v>
      </c>
      <c r="F15" s="5" t="s">
        <v>18</v>
      </c>
      <c r="G15" s="6" t="n">
        <v>22000</v>
      </c>
      <c r="H15" s="6" t="n">
        <v>20000</v>
      </c>
      <c r="I15" s="4" t="s">
        <v>19</v>
      </c>
      <c r="J15" s="5" t="s">
        <v>29</v>
      </c>
      <c r="K15" s="5" t="s">
        <v>67</v>
      </c>
      <c r="L15" s="5" t="s">
        <v>22</v>
      </c>
      <c r="M15" s="5" t="n">
        <v>6</v>
      </c>
      <c r="N15" s="5" t="s">
        <v>57</v>
      </c>
      <c r="O15" s="5" t="s">
        <v>46</v>
      </c>
    </row>
    <row r="16" customFormat="false" ht="15" hidden="false" customHeight="false" outlineLevel="0" collapsed="false">
      <c r="A16" s="2" t="n">
        <v>5015</v>
      </c>
      <c r="B16" s="2" t="s">
        <v>71</v>
      </c>
      <c r="C16" s="2" t="s">
        <v>72</v>
      </c>
      <c r="D16" s="2" t="n">
        <v>40</v>
      </c>
      <c r="E16" s="2" t="s">
        <v>17</v>
      </c>
      <c r="F16" s="2" t="s">
        <v>28</v>
      </c>
      <c r="G16" s="3" t="n">
        <v>95000</v>
      </c>
      <c r="H16" s="3" t="n">
        <v>85000</v>
      </c>
      <c r="I16" s="8" t="s">
        <v>73</v>
      </c>
      <c r="J16" s="2" t="s">
        <v>20</v>
      </c>
      <c r="K16" s="2" t="s">
        <v>67</v>
      </c>
      <c r="L16" s="2" t="s">
        <v>22</v>
      </c>
      <c r="M16" s="2" t="n">
        <v>5</v>
      </c>
      <c r="N16" s="2" t="s">
        <v>38</v>
      </c>
      <c r="O16" s="2" t="s">
        <v>31</v>
      </c>
    </row>
    <row r="17" customFormat="false" ht="15" hidden="false" customHeight="false" outlineLevel="0" collapsed="false">
      <c r="A17" s="5" t="n">
        <v>5016</v>
      </c>
      <c r="B17" s="5" t="s">
        <v>74</v>
      </c>
      <c r="C17" s="5" t="s">
        <v>75</v>
      </c>
      <c r="D17" s="5" t="n">
        <v>31</v>
      </c>
      <c r="E17" s="5" t="s">
        <v>27</v>
      </c>
      <c r="F17" s="5" t="s">
        <v>18</v>
      </c>
      <c r="G17" s="6" t="n">
        <v>38000</v>
      </c>
      <c r="H17" s="6" t="n">
        <v>35000</v>
      </c>
      <c r="I17" s="4" t="s">
        <v>19</v>
      </c>
      <c r="J17" s="5" t="s">
        <v>37</v>
      </c>
      <c r="K17" s="5" t="s">
        <v>67</v>
      </c>
      <c r="L17" s="5" t="s">
        <v>22</v>
      </c>
      <c r="M17" s="5" t="n">
        <v>11</v>
      </c>
      <c r="N17" s="5" t="s">
        <v>45</v>
      </c>
      <c r="O17" s="5" t="s">
        <v>46</v>
      </c>
    </row>
    <row r="18" customFormat="false" ht="15" hidden="false" customHeight="false" outlineLevel="0" collapsed="false">
      <c r="A18" s="2" t="n">
        <v>5017</v>
      </c>
      <c r="B18" s="2" t="s">
        <v>76</v>
      </c>
      <c r="C18" s="2" t="s">
        <v>77</v>
      </c>
      <c r="D18" s="2" t="n">
        <v>58</v>
      </c>
      <c r="E18" s="2" t="s">
        <v>17</v>
      </c>
      <c r="F18" s="2" t="s">
        <v>36</v>
      </c>
      <c r="G18" s="3" t="n">
        <v>180000</v>
      </c>
      <c r="H18" s="3" t="n">
        <v>160000</v>
      </c>
      <c r="I18" s="4" t="s">
        <v>19</v>
      </c>
      <c r="J18" s="2" t="s">
        <v>29</v>
      </c>
      <c r="K18" s="2" t="s">
        <v>67</v>
      </c>
      <c r="L18" s="2" t="s">
        <v>22</v>
      </c>
      <c r="M18" s="2" t="n">
        <v>22</v>
      </c>
      <c r="N18" s="2" t="s">
        <v>41</v>
      </c>
      <c r="O18" s="2" t="s">
        <v>24</v>
      </c>
    </row>
    <row r="19" customFormat="false" ht="15" hidden="false" customHeight="false" outlineLevel="0" collapsed="false">
      <c r="A19" s="5" t="n">
        <v>5018</v>
      </c>
      <c r="B19" s="5" t="s">
        <v>78</v>
      </c>
      <c r="C19" s="5" t="s">
        <v>79</v>
      </c>
      <c r="D19" s="5" t="n">
        <v>44</v>
      </c>
      <c r="E19" s="5" t="s">
        <v>27</v>
      </c>
      <c r="F19" s="5" t="s">
        <v>28</v>
      </c>
      <c r="G19" s="6" t="n">
        <v>65000</v>
      </c>
      <c r="H19" s="6" t="n">
        <v>58000</v>
      </c>
      <c r="I19" s="4" t="s">
        <v>19</v>
      </c>
      <c r="J19" s="5" t="s">
        <v>20</v>
      </c>
      <c r="K19" s="5" t="s">
        <v>67</v>
      </c>
      <c r="L19" s="5" t="s">
        <v>22</v>
      </c>
      <c r="M19" s="5" t="n">
        <v>16</v>
      </c>
      <c r="N19" s="5" t="s">
        <v>30</v>
      </c>
      <c r="O19" s="5" t="s">
        <v>31</v>
      </c>
    </row>
    <row r="20" customFormat="false" ht="15" hidden="false" customHeight="false" outlineLevel="0" collapsed="false">
      <c r="A20" s="2" t="n">
        <v>5019</v>
      </c>
      <c r="B20" s="2" t="s">
        <v>80</v>
      </c>
      <c r="C20" s="2" t="s">
        <v>81</v>
      </c>
      <c r="D20" s="2" t="n">
        <v>39</v>
      </c>
      <c r="E20" s="2" t="s">
        <v>17</v>
      </c>
      <c r="F20" s="2" t="s">
        <v>18</v>
      </c>
      <c r="G20" s="3" t="n">
        <v>55000</v>
      </c>
      <c r="H20" s="3" t="n">
        <v>50000</v>
      </c>
      <c r="I20" s="7" t="s">
        <v>44</v>
      </c>
      <c r="J20" s="2" t="s">
        <v>37</v>
      </c>
      <c r="K20" s="2" t="s">
        <v>67</v>
      </c>
      <c r="L20" s="2" t="s">
        <v>22</v>
      </c>
      <c r="M20" s="2" t="n">
        <v>0</v>
      </c>
      <c r="N20" s="2" t="s">
        <v>23</v>
      </c>
      <c r="O20" s="2" t="s">
        <v>24</v>
      </c>
    </row>
    <row r="21" customFormat="false" ht="15" hidden="false" customHeight="false" outlineLevel="0" collapsed="false">
      <c r="A21" s="5" t="n">
        <v>5020</v>
      </c>
      <c r="B21" s="5" t="s">
        <v>82</v>
      </c>
      <c r="C21" s="5" t="s">
        <v>83</v>
      </c>
      <c r="D21" s="5" t="n">
        <v>62</v>
      </c>
      <c r="E21" s="5" t="s">
        <v>27</v>
      </c>
      <c r="F21" s="5" t="s">
        <v>18</v>
      </c>
      <c r="G21" s="6" t="n">
        <v>70000</v>
      </c>
      <c r="H21" s="6" t="n">
        <v>65000</v>
      </c>
      <c r="I21" s="4" t="s">
        <v>19</v>
      </c>
      <c r="J21" s="5" t="s">
        <v>29</v>
      </c>
      <c r="K21" s="5" t="s">
        <v>67</v>
      </c>
      <c r="L21" s="5" t="s">
        <v>22</v>
      </c>
      <c r="M21" s="5" t="n">
        <v>13</v>
      </c>
      <c r="N21" s="5" t="s">
        <v>60</v>
      </c>
      <c r="O21" s="5" t="s">
        <v>46</v>
      </c>
    </row>
    <row r="22" customFormat="false" ht="15" hidden="false" customHeight="false" outlineLevel="0" collapsed="false">
      <c r="A22" s="2" t="n">
        <v>5021</v>
      </c>
      <c r="B22" s="2" t="s">
        <v>84</v>
      </c>
      <c r="C22" s="2" t="s">
        <v>85</v>
      </c>
      <c r="D22" s="2" t="n">
        <v>35</v>
      </c>
      <c r="E22" s="2" t="s">
        <v>17</v>
      </c>
      <c r="F22" s="2" t="s">
        <v>28</v>
      </c>
      <c r="G22" s="3" t="n">
        <v>110000</v>
      </c>
      <c r="H22" s="3" t="n">
        <v>95000</v>
      </c>
      <c r="I22" s="4" t="s">
        <v>19</v>
      </c>
      <c r="J22" s="2" t="s">
        <v>20</v>
      </c>
      <c r="K22" s="2" t="s">
        <v>86</v>
      </c>
      <c r="L22" s="2" t="s">
        <v>87</v>
      </c>
      <c r="M22" s="2" t="n">
        <v>19</v>
      </c>
      <c r="N22" s="2" t="s">
        <v>23</v>
      </c>
      <c r="O22" s="2" t="s">
        <v>24</v>
      </c>
    </row>
    <row r="23" customFormat="false" ht="15" hidden="false" customHeight="false" outlineLevel="0" collapsed="false">
      <c r="A23" s="5" t="n">
        <v>5022</v>
      </c>
      <c r="B23" s="5" t="s">
        <v>88</v>
      </c>
      <c r="C23" s="5" t="s">
        <v>89</v>
      </c>
      <c r="D23" s="5" t="n">
        <v>48</v>
      </c>
      <c r="E23" s="5" t="s">
        <v>27</v>
      </c>
      <c r="F23" s="5" t="s">
        <v>36</v>
      </c>
      <c r="G23" s="6" t="n">
        <v>290000</v>
      </c>
      <c r="H23" s="6" t="n">
        <v>260000</v>
      </c>
      <c r="I23" s="4" t="s">
        <v>19</v>
      </c>
      <c r="J23" s="5" t="s">
        <v>37</v>
      </c>
      <c r="K23" s="5" t="s">
        <v>86</v>
      </c>
      <c r="L23" s="5" t="s">
        <v>87</v>
      </c>
      <c r="M23" s="5" t="n">
        <v>27</v>
      </c>
      <c r="N23" s="5" t="s">
        <v>50</v>
      </c>
      <c r="O23" s="5" t="s">
        <v>31</v>
      </c>
    </row>
    <row r="24" customFormat="false" ht="15" hidden="false" customHeight="false" outlineLevel="0" collapsed="false">
      <c r="A24" s="2" t="n">
        <v>5023</v>
      </c>
      <c r="B24" s="2" t="s">
        <v>90</v>
      </c>
      <c r="C24" s="2" t="s">
        <v>91</v>
      </c>
      <c r="D24" s="2" t="n">
        <v>26</v>
      </c>
      <c r="E24" s="2" t="s">
        <v>17</v>
      </c>
      <c r="F24" s="2" t="s">
        <v>18</v>
      </c>
      <c r="G24" s="3" t="n">
        <v>18000</v>
      </c>
      <c r="H24" s="3" t="n">
        <v>16000</v>
      </c>
      <c r="I24" s="4" t="s">
        <v>19</v>
      </c>
      <c r="J24" s="2" t="s">
        <v>29</v>
      </c>
      <c r="K24" s="2" t="s">
        <v>86</v>
      </c>
      <c r="L24" s="2" t="s">
        <v>87</v>
      </c>
      <c r="M24" s="2" t="n">
        <v>5</v>
      </c>
      <c r="N24" s="2" t="s">
        <v>68</v>
      </c>
      <c r="O24" s="2" t="s">
        <v>24</v>
      </c>
    </row>
    <row r="25" customFormat="false" ht="15" hidden="false" customHeight="false" outlineLevel="0" collapsed="false">
      <c r="A25" s="5" t="n">
        <v>5024</v>
      </c>
      <c r="B25" s="5" t="s">
        <v>92</v>
      </c>
      <c r="C25" s="5" t="s">
        <v>93</v>
      </c>
      <c r="D25" s="5" t="n">
        <v>53</v>
      </c>
      <c r="E25" s="5" t="s">
        <v>27</v>
      </c>
      <c r="F25" s="5" t="s">
        <v>28</v>
      </c>
      <c r="G25" s="6" t="n">
        <v>82000</v>
      </c>
      <c r="H25" s="6" t="n">
        <v>75000</v>
      </c>
      <c r="I25" s="7" t="s">
        <v>44</v>
      </c>
      <c r="J25" s="5" t="s">
        <v>20</v>
      </c>
      <c r="K25" s="5" t="s">
        <v>86</v>
      </c>
      <c r="L25" s="5" t="s">
        <v>87</v>
      </c>
      <c r="M25" s="5" t="n">
        <v>0</v>
      </c>
      <c r="N25" s="5" t="s">
        <v>30</v>
      </c>
      <c r="O25" s="5" t="s">
        <v>31</v>
      </c>
    </row>
    <row r="26" customFormat="false" ht="15" hidden="false" customHeight="false" outlineLevel="0" collapsed="false">
      <c r="A26" s="2" t="n">
        <v>5025</v>
      </c>
      <c r="B26" s="2" t="s">
        <v>94</v>
      </c>
      <c r="C26" s="2" t="s">
        <v>95</v>
      </c>
      <c r="D26" s="2" t="n">
        <v>37</v>
      </c>
      <c r="E26" s="2" t="s">
        <v>17</v>
      </c>
      <c r="F26" s="2" t="s">
        <v>18</v>
      </c>
      <c r="G26" s="3" t="n">
        <v>48000</v>
      </c>
      <c r="H26" s="3" t="n">
        <v>42000</v>
      </c>
      <c r="I26" s="4" t="s">
        <v>19</v>
      </c>
      <c r="J26" s="2" t="s">
        <v>37</v>
      </c>
      <c r="K26" s="2" t="s">
        <v>86</v>
      </c>
      <c r="L26" s="2" t="s">
        <v>87</v>
      </c>
      <c r="M26" s="2" t="n">
        <v>10</v>
      </c>
      <c r="N26" s="2" t="s">
        <v>53</v>
      </c>
      <c r="O26" s="2" t="s">
        <v>54</v>
      </c>
    </row>
    <row r="27" customFormat="false" ht="15" hidden="false" customHeight="false" outlineLevel="0" collapsed="false">
      <c r="A27" s="5" t="n">
        <v>5026</v>
      </c>
      <c r="B27" s="5" t="s">
        <v>96</v>
      </c>
      <c r="C27" s="5" t="s">
        <v>97</v>
      </c>
      <c r="D27" s="5" t="n">
        <v>41</v>
      </c>
      <c r="E27" s="5" t="s">
        <v>27</v>
      </c>
      <c r="F27" s="5" t="s">
        <v>36</v>
      </c>
      <c r="G27" s="6" t="n">
        <v>320000</v>
      </c>
      <c r="H27" s="6" t="n">
        <v>285000</v>
      </c>
      <c r="I27" s="4" t="s">
        <v>19</v>
      </c>
      <c r="J27" s="5" t="s">
        <v>29</v>
      </c>
      <c r="K27" s="5" t="s">
        <v>86</v>
      </c>
      <c r="L27" s="5" t="s">
        <v>87</v>
      </c>
      <c r="M27" s="5" t="n">
        <v>32</v>
      </c>
      <c r="N27" s="5" t="s">
        <v>45</v>
      </c>
      <c r="O27" s="5" t="s">
        <v>46</v>
      </c>
    </row>
    <row r="28" customFormat="false" ht="15" hidden="false" customHeight="false" outlineLevel="0" collapsed="false">
      <c r="A28" s="2" t="n">
        <v>5027</v>
      </c>
      <c r="B28" s="2" t="s">
        <v>98</v>
      </c>
      <c r="C28" s="2" t="s">
        <v>99</v>
      </c>
      <c r="D28" s="2" t="n">
        <v>56</v>
      </c>
      <c r="E28" s="2" t="s">
        <v>17</v>
      </c>
      <c r="F28" s="2" t="s">
        <v>18</v>
      </c>
      <c r="G28" s="3" t="n">
        <v>90000</v>
      </c>
      <c r="H28" s="3" t="n">
        <v>82000</v>
      </c>
      <c r="I28" s="4" t="s">
        <v>19</v>
      </c>
      <c r="J28" s="2" t="s">
        <v>20</v>
      </c>
      <c r="K28" s="2" t="s">
        <v>86</v>
      </c>
      <c r="L28" s="2" t="s">
        <v>87</v>
      </c>
      <c r="M28" s="2" t="n">
        <v>15</v>
      </c>
      <c r="N28" s="2" t="s">
        <v>23</v>
      </c>
      <c r="O28" s="2" t="s">
        <v>24</v>
      </c>
    </row>
    <row r="29" customFormat="false" ht="15" hidden="false" customHeight="false" outlineLevel="0" collapsed="false">
      <c r="A29" s="5" t="n">
        <v>5028</v>
      </c>
      <c r="B29" s="5" t="s">
        <v>100</v>
      </c>
      <c r="C29" s="5" t="s">
        <v>101</v>
      </c>
      <c r="D29" s="5" t="n">
        <v>30</v>
      </c>
      <c r="E29" s="5" t="s">
        <v>27</v>
      </c>
      <c r="F29" s="5" t="s">
        <v>28</v>
      </c>
      <c r="G29" s="6" t="n">
        <v>55000</v>
      </c>
      <c r="H29" s="6" t="n">
        <v>50000</v>
      </c>
      <c r="I29" s="8" t="s">
        <v>73</v>
      </c>
      <c r="J29" s="5" t="s">
        <v>37</v>
      </c>
      <c r="K29" s="5" t="s">
        <v>86</v>
      </c>
      <c r="L29" s="5" t="s">
        <v>87</v>
      </c>
      <c r="M29" s="5" t="n">
        <v>4</v>
      </c>
      <c r="N29" s="5" t="s">
        <v>50</v>
      </c>
      <c r="O29" s="5" t="s">
        <v>31</v>
      </c>
    </row>
    <row r="30" customFormat="false" ht="15" hidden="false" customHeight="false" outlineLevel="0" collapsed="false">
      <c r="A30" s="2" t="n">
        <v>5029</v>
      </c>
      <c r="B30" s="2" t="s">
        <v>102</v>
      </c>
      <c r="C30" s="2" t="s">
        <v>103</v>
      </c>
      <c r="D30" s="2" t="n">
        <v>43</v>
      </c>
      <c r="E30" s="2" t="s">
        <v>17</v>
      </c>
      <c r="F30" s="2" t="s">
        <v>36</v>
      </c>
      <c r="G30" s="3" t="n">
        <v>410000</v>
      </c>
      <c r="H30" s="3" t="n">
        <v>370000</v>
      </c>
      <c r="I30" s="4" t="s">
        <v>19</v>
      </c>
      <c r="J30" s="2" t="s">
        <v>29</v>
      </c>
      <c r="K30" s="2" t="s">
        <v>86</v>
      </c>
      <c r="L30" s="2" t="s">
        <v>87</v>
      </c>
      <c r="M30" s="2" t="n">
        <v>35</v>
      </c>
      <c r="N30" s="2" t="s">
        <v>57</v>
      </c>
      <c r="O30" s="2" t="s">
        <v>46</v>
      </c>
    </row>
    <row r="31" customFormat="false" ht="15" hidden="false" customHeight="false" outlineLevel="0" collapsed="false">
      <c r="A31" s="5" t="n">
        <v>5030</v>
      </c>
      <c r="B31" s="5" t="s">
        <v>104</v>
      </c>
      <c r="C31" s="5" t="s">
        <v>105</v>
      </c>
      <c r="D31" s="5" t="n">
        <v>49</v>
      </c>
      <c r="E31" s="5" t="s">
        <v>27</v>
      </c>
      <c r="F31" s="5" t="s">
        <v>18</v>
      </c>
      <c r="G31" s="6" t="n">
        <v>62000</v>
      </c>
      <c r="H31" s="6" t="n">
        <v>56000</v>
      </c>
      <c r="I31" s="7" t="s">
        <v>44</v>
      </c>
      <c r="J31" s="5" t="s">
        <v>20</v>
      </c>
      <c r="K31" s="5" t="s">
        <v>86</v>
      </c>
      <c r="L31" s="5" t="s">
        <v>87</v>
      </c>
      <c r="M31" s="5" t="n">
        <v>0</v>
      </c>
      <c r="N31" s="5" t="s">
        <v>41</v>
      </c>
      <c r="O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1" min="10" style="0" width="12"/>
    <col collapsed="false" customWidth="true" hidden="false" outlineLevel="0" max="13" min="12" style="0" width="14"/>
  </cols>
  <sheetData>
    <row r="1" customFormat="false" ht="34.5" hidden="false" customHeight="true" outlineLevel="0" collapsed="false">
      <c r="A1" s="9" t="s">
        <v>106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customFormat="false" ht="21.75" hidden="false" customHeight="true" outlineLevel="0" collapsed="false">
      <c r="A3" s="10" t="s">
        <v>107</v>
      </c>
      <c r="B3" s="10"/>
      <c r="C3" s="10"/>
      <c r="D3" s="10"/>
      <c r="F3" s="10" t="s">
        <v>108</v>
      </c>
      <c r="G3" s="10"/>
      <c r="H3" s="10"/>
      <c r="I3" s="10"/>
      <c r="J3" s="10"/>
    </row>
    <row r="4" customFormat="false" ht="19.5" hidden="false" customHeight="true" outlineLevel="0" collapsed="false">
      <c r="A4" s="11" t="s">
        <v>109</v>
      </c>
      <c r="B4" s="12"/>
      <c r="C4" s="12"/>
      <c r="D4" s="13" t="n">
        <f aca="false">COUNTA('Claims Data'!A2:A31)</f>
        <v>30</v>
      </c>
      <c r="F4" s="1" t="s">
        <v>5</v>
      </c>
      <c r="G4" s="1" t="s">
        <v>109</v>
      </c>
      <c r="H4" s="1" t="s">
        <v>110</v>
      </c>
      <c r="I4" s="1" t="s">
        <v>111</v>
      </c>
      <c r="J4" s="1" t="s">
        <v>19</v>
      </c>
    </row>
    <row r="5" customFormat="false" ht="19.5" hidden="false" customHeight="true" outlineLevel="0" collapsed="false">
      <c r="A5" s="11" t="s">
        <v>112</v>
      </c>
      <c r="B5" s="12"/>
      <c r="C5" s="12"/>
      <c r="D5" s="14" t="n">
        <f aca="false">SUM('Claims Data'!G2:G31)</f>
        <v>3415000</v>
      </c>
      <c r="F5" s="5" t="s">
        <v>18</v>
      </c>
      <c r="G5" s="5" t="n">
        <f aca="false">COUNTIF('Claims Data'!F:F,F5)</f>
        <v>14</v>
      </c>
      <c r="H5" s="6" t="n">
        <f aca="false">SUMIF('Claims Data'!F:F,F5,'Claims Data'!G:G)</f>
        <v>663000</v>
      </c>
      <c r="I5" s="6" t="n">
        <f aca="false">SUMIF('Claims Data'!F:F,F5,'Claims Data'!H:H)</f>
        <v>602000</v>
      </c>
      <c r="J5" s="5" t="n">
        <f aca="false">COUNTIFS('Claims Data'!F:F,F5,'Claims Data'!I:I,"Settled")</f>
        <v>12</v>
      </c>
    </row>
    <row r="6" customFormat="false" ht="19.5" hidden="false" customHeight="true" outlineLevel="0" collapsed="false">
      <c r="A6" s="11" t="s">
        <v>113</v>
      </c>
      <c r="B6" s="12"/>
      <c r="C6" s="12"/>
      <c r="D6" s="14" t="n">
        <f aca="false">SUM('Claims Data'!H2:H31)</f>
        <v>3047000</v>
      </c>
      <c r="F6" s="2" t="s">
        <v>28</v>
      </c>
      <c r="G6" s="2" t="n">
        <f aca="false">COUNTIF('Claims Data'!F:F,F6)</f>
        <v>9</v>
      </c>
      <c r="H6" s="3" t="n">
        <f aca="false">SUMIF('Claims Data'!F:F,F6,'Claims Data'!G:G)</f>
        <v>752000</v>
      </c>
      <c r="I6" s="3" t="n">
        <f aca="false">SUMIF('Claims Data'!F:F,F6,'Claims Data'!H:H)</f>
        <v>670000</v>
      </c>
      <c r="J6" s="2" t="n">
        <f aca="false">COUNTIFS('Claims Data'!F:F,F6,'Claims Data'!I:I,"Settled")</f>
        <v>4</v>
      </c>
    </row>
    <row r="7" customFormat="false" ht="19.5" hidden="false" customHeight="true" outlineLevel="0" collapsed="false">
      <c r="A7" s="11" t="s">
        <v>114</v>
      </c>
      <c r="B7" s="12"/>
      <c r="C7" s="12"/>
      <c r="D7" s="13" t="n">
        <f aca="false">COUNTIF('Claims Data'!I2:I31,"Settled")</f>
        <v>23</v>
      </c>
      <c r="F7" s="5" t="s">
        <v>36</v>
      </c>
      <c r="G7" s="5" t="n">
        <f aca="false">COUNTIF('Claims Data'!F:F,F7)</f>
        <v>7</v>
      </c>
      <c r="H7" s="6" t="n">
        <f aca="false">SUMIF('Claims Data'!F:F,F7,'Claims Data'!G:G)</f>
        <v>2000000</v>
      </c>
      <c r="I7" s="6" t="n">
        <f aca="false">SUMIF('Claims Data'!F:F,F7,'Claims Data'!H:H)</f>
        <v>1775000</v>
      </c>
      <c r="J7" s="5" t="n">
        <f aca="false">COUNTIFS('Claims Data'!F:F,F7,'Claims Data'!I:I,"Settled")</f>
        <v>7</v>
      </c>
    </row>
    <row r="8" customFormat="false" ht="19.5" hidden="false" customHeight="true" outlineLevel="0" collapsed="false">
      <c r="A8" s="11" t="s">
        <v>115</v>
      </c>
      <c r="B8" s="12"/>
      <c r="C8" s="12"/>
      <c r="D8" s="13" t="n">
        <f aca="false">COUNTIF('Claims Data'!I2:I31,"Pending")</f>
        <v>5</v>
      </c>
    </row>
    <row r="9" customFormat="false" ht="19.5" hidden="false" customHeight="true" outlineLevel="0" collapsed="false">
      <c r="A9" s="11" t="s">
        <v>116</v>
      </c>
      <c r="B9" s="12"/>
      <c r="C9" s="12"/>
      <c r="D9" s="13" t="n">
        <f aca="false">COUNTIF('Claims Data'!I2:I31,"Rejected")</f>
        <v>2</v>
      </c>
      <c r="F9" s="10" t="s">
        <v>117</v>
      </c>
      <c r="G9" s="10"/>
      <c r="H9" s="10"/>
      <c r="I9" s="10"/>
      <c r="J9" s="10"/>
    </row>
    <row r="10" customFormat="false" ht="19.5" hidden="false" customHeight="true" outlineLevel="0" collapsed="false">
      <c r="A10" s="11" t="s">
        <v>118</v>
      </c>
      <c r="B10" s="12"/>
      <c r="C10" s="12"/>
      <c r="D10" s="15" t="n">
        <f aca="false">COUNTIF('Claims Data'!I2:I31,"Settled")/COUNTA('Claims Data'!I2:I31)</f>
        <v>0.766666666666667</v>
      </c>
      <c r="F10" s="1" t="s">
        <v>10</v>
      </c>
      <c r="G10" s="1" t="s">
        <v>119</v>
      </c>
      <c r="H10" s="1" t="s">
        <v>120</v>
      </c>
      <c r="I10" s="1" t="s">
        <v>121</v>
      </c>
      <c r="J10" s="1" t="s">
        <v>122</v>
      </c>
    </row>
    <row r="11" customFormat="false" ht="19.5" hidden="false" customHeight="true" outlineLevel="0" collapsed="false">
      <c r="A11" s="11" t="s">
        <v>123</v>
      </c>
      <c r="B11" s="12"/>
      <c r="C11" s="12"/>
      <c r="D11" s="16" t="n">
        <f aca="false">AVERAGEIF('Claims Data'!I2:I31,"Settled",'Claims Data'!M2:M31)</f>
        <v>17.0434782608696</v>
      </c>
      <c r="F11" s="5" t="s">
        <v>21</v>
      </c>
      <c r="G11" s="5" t="n">
        <f aca="false">COUNTIF('Claims Data'!K:K,F11)</f>
        <v>6</v>
      </c>
      <c r="H11" s="6" t="n">
        <f aca="false">SUMIF('Claims Data'!K:K,F11,'Claims Data'!G:G)</f>
        <v>535000</v>
      </c>
      <c r="I11" s="6" t="n">
        <f aca="false">SUMIF('Claims Data'!K:K,F11,'Claims Data'!H:H)</f>
        <v>478000</v>
      </c>
      <c r="J11" s="5" t="n">
        <f aca="false">COUNTIFS('Claims Data'!K:K,F11,'Claims Data'!I:I,"Settled")</f>
        <v>5</v>
      </c>
    </row>
    <row r="12" customFormat="false" ht="15" hidden="false" customHeight="false" outlineLevel="0" collapsed="false">
      <c r="F12" s="2" t="s">
        <v>49</v>
      </c>
      <c r="G12" s="2" t="n">
        <f aca="false">COUNTIF('Claims Data'!K:K,F12)</f>
        <v>6</v>
      </c>
      <c r="H12" s="3" t="n">
        <f aca="false">SUMIF('Claims Data'!K:K,F12,'Claims Data'!G:G)</f>
        <v>620000</v>
      </c>
      <c r="I12" s="3" t="n">
        <f aca="false">SUMIF('Claims Data'!K:K,F12,'Claims Data'!H:H)</f>
        <v>545000</v>
      </c>
      <c r="J12" s="2" t="n">
        <f aca="false">COUNTIFS('Claims Data'!K:K,F12,'Claims Data'!I:I,"Settled")</f>
        <v>5</v>
      </c>
    </row>
    <row r="13" customFormat="false" ht="15" hidden="false" customHeight="true" outlineLevel="0" collapsed="false">
      <c r="A13" s="10" t="s">
        <v>124</v>
      </c>
      <c r="B13" s="10"/>
      <c r="C13" s="10"/>
      <c r="D13" s="10"/>
      <c r="F13" s="5" t="s">
        <v>67</v>
      </c>
      <c r="G13" s="5" t="n">
        <f aca="false">COUNTIF('Claims Data'!K:K,F13)</f>
        <v>8</v>
      </c>
      <c r="H13" s="6" t="n">
        <f aca="false">SUMIF('Claims Data'!K:K,F13,'Claims Data'!G:G)</f>
        <v>775000</v>
      </c>
      <c r="I13" s="6" t="n">
        <f aca="false">SUMIF('Claims Data'!K:K,F13,'Claims Data'!H:H)</f>
        <v>693000</v>
      </c>
      <c r="J13" s="5" t="n">
        <f aca="false">COUNTIFS('Claims Data'!K:K,F13,'Claims Data'!I:I,"Settled")</f>
        <v>6</v>
      </c>
    </row>
    <row r="14" customFormat="false" ht="15" hidden="false" customHeight="false" outlineLevel="0" collapsed="false">
      <c r="A14" s="1" t="s">
        <v>9</v>
      </c>
      <c r="B14" s="1" t="s">
        <v>125</v>
      </c>
      <c r="C14" s="1" t="s">
        <v>19</v>
      </c>
      <c r="D14" s="1" t="s">
        <v>44</v>
      </c>
      <c r="F14" s="2" t="s">
        <v>86</v>
      </c>
      <c r="G14" s="2" t="n">
        <f aca="false">COUNTIF('Claims Data'!K:K,F14)</f>
        <v>10</v>
      </c>
      <c r="H14" s="3" t="n">
        <f aca="false">SUMIF('Claims Data'!K:K,F14,'Claims Data'!G:G)</f>
        <v>1485000</v>
      </c>
      <c r="I14" s="3" t="n">
        <f aca="false">SUMIF('Claims Data'!K:K,F14,'Claims Data'!H:H)</f>
        <v>1331000</v>
      </c>
      <c r="J14" s="2" t="n">
        <f aca="false">COUNTIFS('Claims Data'!K:K,F14,'Claims Data'!I:I,"Settled")</f>
        <v>7</v>
      </c>
    </row>
    <row r="15" customFormat="false" ht="15" hidden="false" customHeight="false" outlineLevel="0" collapsed="false">
      <c r="A15" s="5" t="s">
        <v>20</v>
      </c>
      <c r="B15" s="5" t="n">
        <f aca="false">COUNTIF('Claims Data'!J:J,A15)</f>
        <v>11</v>
      </c>
      <c r="C15" s="5" t="n">
        <f aca="false">COUNTIFS('Claims Data'!J:J,A15,'Claims Data'!I:I,"Settled")</f>
        <v>7</v>
      </c>
      <c r="D15" s="5" t="n">
        <f aca="false">COUNTIFS('Claims Data'!J:J,A15,'Claims Data'!I:I,"Pending")</f>
        <v>3</v>
      </c>
    </row>
    <row r="16" customFormat="false" ht="15" hidden="false" customHeight="false" outlineLevel="0" collapsed="false">
      <c r="A16" s="2" t="s">
        <v>29</v>
      </c>
      <c r="B16" s="2" t="n">
        <f aca="false">COUNTIF('Claims Data'!J:J,A16)</f>
        <v>10</v>
      </c>
      <c r="C16" s="2" t="n">
        <f aca="false">COUNTIFS('Claims Data'!J:J,A16,'Claims Data'!I:I,"Settled")</f>
        <v>9</v>
      </c>
      <c r="D16" s="2" t="n">
        <f aca="false">COUNTIFS('Claims Data'!J:J,A16,'Claims Data'!I:I,"Pending")</f>
        <v>1</v>
      </c>
    </row>
    <row r="17" customFormat="false" ht="15" hidden="false" customHeight="false" outlineLevel="0" collapsed="false">
      <c r="A17" s="5" t="s">
        <v>37</v>
      </c>
      <c r="B17" s="5" t="n">
        <f aca="false">COUNTIF('Claims Data'!J:J,A17)</f>
        <v>9</v>
      </c>
      <c r="C17" s="5" t="n">
        <f aca="false">COUNTIFS('Claims Data'!J:J,A17,'Claims Data'!I:I,"Settled")</f>
        <v>7</v>
      </c>
      <c r="D17" s="5" t="n">
        <f aca="false">COUNTIFS('Claims Data'!J:J,A17,'Claims Data'!I:I,"Pending")</f>
        <v>1</v>
      </c>
    </row>
    <row r="19" customFormat="false" ht="15" hidden="false" customHeight="true" outlineLevel="0" collapsed="false">
      <c r="A19" s="10" t="s">
        <v>126</v>
      </c>
      <c r="B19" s="10"/>
      <c r="C19" s="10"/>
      <c r="D19" s="10"/>
    </row>
    <row r="20" customFormat="false" ht="15" hidden="false" customHeight="false" outlineLevel="0" collapsed="false">
      <c r="A20" s="1" t="s">
        <v>8</v>
      </c>
      <c r="B20" s="1" t="s">
        <v>127</v>
      </c>
      <c r="C20" s="1" t="s">
        <v>128</v>
      </c>
      <c r="D20" s="1" t="s">
        <v>129</v>
      </c>
    </row>
    <row r="21" customFormat="false" ht="15" hidden="false" customHeight="false" outlineLevel="0" collapsed="false">
      <c r="A21" s="17" t="s">
        <v>19</v>
      </c>
      <c r="B21" s="17" t="n">
        <f aca="false">COUNTIF('Claims Data'!I:I,A21)</f>
        <v>23</v>
      </c>
      <c r="C21" s="18" t="n">
        <f aca="false">B21/30</f>
        <v>0.766666666666667</v>
      </c>
      <c r="D21" s="19" t="n">
        <f aca="false">AVERAGEIF('Claims Data'!I:I,A21,'Claims Data'!G:G)</f>
        <v>127434.782608696</v>
      </c>
    </row>
    <row r="22" customFormat="false" ht="15" hidden="false" customHeight="false" outlineLevel="0" collapsed="false">
      <c r="A22" s="20" t="s">
        <v>44</v>
      </c>
      <c r="B22" s="20" t="n">
        <f aca="false">COUNTIF('Claims Data'!I:I,A22)</f>
        <v>5</v>
      </c>
      <c r="C22" s="21" t="n">
        <f aca="false">B22/30</f>
        <v>0.166666666666667</v>
      </c>
      <c r="D22" s="22" t="n">
        <f aca="false">AVERAGEIF('Claims Data'!I:I,A22,'Claims Data'!G:G)</f>
        <v>66800</v>
      </c>
    </row>
    <row r="23" customFormat="false" ht="15" hidden="false" customHeight="false" outlineLevel="0" collapsed="false">
      <c r="A23" s="23" t="s">
        <v>73</v>
      </c>
      <c r="B23" s="23" t="n">
        <f aca="false">COUNTIF('Claims Data'!I:I,A23)</f>
        <v>2</v>
      </c>
      <c r="C23" s="24" t="n">
        <f aca="false">B23/30</f>
        <v>0.0666666666666667</v>
      </c>
      <c r="D23" s="25" t="n">
        <f aca="false">AVERAGEIF('Claims Data'!I:I,A23,'Claims Data'!G:G)</f>
        <v>75000</v>
      </c>
    </row>
  </sheetData>
  <mergeCells count="6">
    <mergeCell ref="A1:M1"/>
    <mergeCell ref="A3:D3"/>
    <mergeCell ref="F3:J3"/>
    <mergeCell ref="F9:J9"/>
    <mergeCell ref="A13:D1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5"/>
  </cols>
  <sheetData>
    <row r="1" customFormat="false" ht="30" hidden="false" customHeight="true" outlineLevel="0" collapsed="false">
      <c r="A1" s="26" t="s">
        <v>130</v>
      </c>
      <c r="B1" s="26"/>
      <c r="C1" s="26"/>
    </row>
    <row r="2" customFormat="false" ht="15" hidden="false" customHeight="false" outlineLevel="0" collapsed="false">
      <c r="A2" s="27" t="s">
        <v>131</v>
      </c>
      <c r="B2" s="27" t="s">
        <v>132</v>
      </c>
    </row>
    <row r="3" customFormat="false" ht="21.75" hidden="false" customHeight="true" outlineLevel="0" collapsed="false">
      <c r="A3" s="28" t="s">
        <v>133</v>
      </c>
      <c r="B3" s="29" t="s">
        <v>134</v>
      </c>
    </row>
    <row r="4" customFormat="false" ht="21.75" hidden="false" customHeight="true" outlineLevel="0" collapsed="false">
      <c r="A4" s="28" t="s">
        <v>135</v>
      </c>
      <c r="B4" s="30" t="s">
        <v>136</v>
      </c>
    </row>
    <row r="5" customFormat="false" ht="21.75" hidden="false" customHeight="true" outlineLevel="0" collapsed="false">
      <c r="A5" s="28" t="s">
        <v>137</v>
      </c>
      <c r="B5" s="29" t="s">
        <v>138</v>
      </c>
    </row>
    <row r="6" customFormat="false" ht="21.75" hidden="false" customHeight="true" outlineLevel="0" collapsed="false">
      <c r="A6" s="28" t="s">
        <v>139</v>
      </c>
      <c r="B6" s="30" t="s">
        <v>140</v>
      </c>
    </row>
    <row r="7" customFormat="false" ht="21.75" hidden="false" customHeight="true" outlineLevel="0" collapsed="false">
      <c r="A7" s="28" t="s">
        <v>141</v>
      </c>
      <c r="B7" s="29" t="s">
        <v>142</v>
      </c>
    </row>
    <row r="8" customFormat="false" ht="21.75" hidden="false" customHeight="true" outlineLevel="0" collapsed="false">
      <c r="A8" s="28" t="s">
        <v>143</v>
      </c>
      <c r="B8" s="30" t="s">
        <v>144</v>
      </c>
    </row>
    <row r="9" customFormat="false" ht="21.75" hidden="false" customHeight="true" outlineLevel="0" collapsed="false">
      <c r="A9" s="28" t="s">
        <v>145</v>
      </c>
      <c r="B9" s="29" t="s">
        <v>146</v>
      </c>
    </row>
    <row r="10" customFormat="false" ht="21.75" hidden="false" customHeight="true" outlineLevel="0" collapsed="false">
      <c r="A10" s="28" t="s">
        <v>147</v>
      </c>
      <c r="B10" s="30" t="s">
        <v>148</v>
      </c>
    </row>
    <row r="11" customFormat="false" ht="21.75" hidden="false" customHeight="true" outlineLevel="0" collapsed="false">
      <c r="A11" s="28" t="s">
        <v>149</v>
      </c>
      <c r="B11" s="29" t="s">
        <v>150</v>
      </c>
    </row>
    <row r="12" customFormat="false" ht="21.75" hidden="false" customHeight="true" outlineLevel="0" collapsed="false">
      <c r="A12" s="28" t="s">
        <v>151</v>
      </c>
      <c r="B12" s="30" t="s">
        <v>152</v>
      </c>
    </row>
    <row r="13" customFormat="false" ht="21.75" hidden="false" customHeight="true" outlineLevel="0" collapsed="false">
      <c r="A13" s="28" t="s">
        <v>153</v>
      </c>
      <c r="B13" s="29" t="s">
        <v>154</v>
      </c>
    </row>
    <row r="14" customFormat="false" ht="21.75" hidden="false" customHeight="true" outlineLevel="0" collapsed="false">
      <c r="A14" s="28" t="s">
        <v>155</v>
      </c>
      <c r="B14" s="30" t="s">
        <v>156</v>
      </c>
    </row>
    <row r="15" customFormat="false" ht="21.75" hidden="false" customHeight="true" outlineLevel="0" collapsed="false">
      <c r="A15" s="28" t="s">
        <v>157</v>
      </c>
      <c r="B15" s="29" t="s">
        <v>158</v>
      </c>
    </row>
    <row r="16" customFormat="false" ht="21.75" hidden="false" customHeight="true" outlineLevel="0" collapsed="false">
      <c r="A16" s="28" t="s">
        <v>159</v>
      </c>
      <c r="B16" s="30" t="s">
        <v>160</v>
      </c>
    </row>
    <row r="17" customFormat="false" ht="21.75" hidden="false" customHeight="true" outlineLevel="0" collapsed="false">
      <c r="A17" s="28" t="s">
        <v>161</v>
      </c>
      <c r="B17" s="29" t="s">
        <v>162</v>
      </c>
    </row>
    <row r="18" customFormat="false" ht="21.75" hidden="false" customHeight="true" outlineLevel="0" collapsed="false">
      <c r="A18" s="28" t="s">
        <v>163</v>
      </c>
      <c r="B18" s="30" t="s">
        <v>164</v>
      </c>
    </row>
    <row r="19" customFormat="false" ht="21.75" hidden="false" customHeight="true" outlineLevel="0" collapsed="false">
      <c r="A19" s="28" t="s">
        <v>165</v>
      </c>
      <c r="B19" s="29" t="s">
        <v>166</v>
      </c>
    </row>
    <row r="20" customFormat="false" ht="21.75" hidden="false" customHeight="true" outlineLevel="0" collapsed="false">
      <c r="A20" s="28" t="s">
        <v>167</v>
      </c>
      <c r="B20" s="30" t="s">
        <v>168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2026-06-25T05:23:38Z</dcterms:created>
  <dc:creator>openpyxl</dc:creator>
  <dc:description/>
  <dc:language>en-US</dc:language>
  <cp:lastModifiedBy/>
  <dcterms:modified xsi:type="dcterms:W3CDTF">2026-06-25T05:23:43Z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